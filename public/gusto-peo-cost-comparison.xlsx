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Assumptions" sheetId="1" state="visible" r:id="rId3"/>
    <sheet name="Major Medical" sheetId="2" state="visible" r:id="rId4"/>
    <sheet name="Dental" sheetId="3" state="visible" r:id="rId5"/>
    <sheet name="Vision" sheetId="4" state="visible" r:id="rId6"/>
    <sheet name="Workers Comp" sheetId="5" state="visible" r:id="rId7"/>
    <sheet name="ROI Summary" sheetId="6" state="visible" r:id="rId8"/>
    <sheet name="4-Year Projection" sheetId="7" state="visible" r:id="rId9"/>
    <sheet name="Included Servi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<sst xmlns="http://schemas.openxmlformats.org/spreadsheetml/2006/main" count="118" uniqueCount="85">
  <si>
    <t xml:space="preserve">GUSTO PEO — COST COMPARISON MODEL</t>
  </si>
  <si>
    <t xml:space="preserve">Current state vs. Gusto PEO — prepared for the client</t>
  </si>
  <si>
    <t xml:space="preserve">Year-1 Savings</t>
  </si>
  <si>
    <t xml:space="preserve">Current Annual Cost</t>
  </si>
  <si>
    <t xml:space="preserve">Gusto PEO Annual Cost</t>
  </si>
  <si>
    <t xml:space="preserve">Savings %</t>
  </si>
  <si>
    <t xml:space="preserve"> ASSUMPTIONS</t>
  </si>
  <si>
    <t xml:space="preserve">Client / Account name</t>
  </si>
  <si>
    <t xml:space="preserve">Sample Client Co.</t>
  </si>
  <si>
    <t xml:space="preserve">Current provider</t>
  </si>
  <si>
    <t xml:space="preserve">Current Carrier / PEO</t>
  </si>
  <si>
    <t xml:space="preserve">Employees (WSEs)</t>
  </si>
  <si>
    <t xml:space="preserve">Annual benefit trend</t>
  </si>
  <si>
    <t xml:space="preserve">Gusto PEO admin fee (PEPM)</t>
  </si>
  <si>
    <t xml:space="preserve">Blue cells are inputs. Edit those only; everything else calculates.</t>
  </si>
  <si>
    <t xml:space="preserve"> ANNUAL TOTALS (ALL EMPLOYEES)</t>
  </si>
  <si>
    <t xml:space="preserve">Current annual cost</t>
  </si>
  <si>
    <t xml:space="preserve">Gusto PEO annual cost</t>
  </si>
  <si>
    <t xml:space="preserve">MAJOR MEDICAL — CURRENT VS GUSTO PEO</t>
  </si>
  <si>
    <t xml:space="preserve">Line item</t>
  </si>
  <si>
    <t xml:space="preserve">Current PEPM</t>
  </si>
  <si>
    <t xml:space="preserve">Gusto PEPM</t>
  </si>
  <si>
    <t xml:space="preserve">Current Annual</t>
  </si>
  <si>
    <t xml:space="preserve">Gusto Annual</t>
  </si>
  <si>
    <t xml:space="preserve">Employee Only</t>
  </si>
  <si>
    <t xml:space="preserve">450</t>
  </si>
  <si>
    <t xml:space="preserve">410</t>
  </si>
  <si>
    <t xml:space="preserve">Employee + Spouse</t>
  </si>
  <si>
    <t xml:space="preserve">720</t>
  </si>
  <si>
    <t xml:space="preserve">660</t>
  </si>
  <si>
    <t xml:space="preserve">Employee + Child(ren)</t>
  </si>
  <si>
    <t xml:space="preserve">680</t>
  </si>
  <si>
    <t xml:space="preserve">620</t>
  </si>
  <si>
    <t xml:space="preserve">Family</t>
  </si>
  <si>
    <t xml:space="preserve">980</t>
  </si>
  <si>
    <t xml:space="preserve">900</t>
  </si>
  <si>
    <t xml:space="preserve">Buy-up / Premium plan</t>
  </si>
  <si>
    <t xml:space="preserve">560</t>
  </si>
  <si>
    <t xml:space="preserve">515</t>
  </si>
  <si>
    <t xml:space="preserve">(blended avg used below)</t>
  </si>
  <si>
    <t xml:space="preserve">Blended PEPM (all tiers)</t>
  </si>
  <si>
    <t xml:space="preserve">TOTAL</t>
  </si>
  <si>
    <t xml:space="preserve">DENTAL — CURRENT VS GUSTO PEO</t>
  </si>
  <si>
    <t xml:space="preserve">32</t>
  </si>
  <si>
    <t xml:space="preserve">28</t>
  </si>
  <si>
    <t xml:space="preserve">78</t>
  </si>
  <si>
    <t xml:space="preserve">70</t>
  </si>
  <si>
    <t xml:space="preserve">VISION — CURRENT VS GUSTO PEO</t>
  </si>
  <si>
    <t xml:space="preserve">8</t>
  </si>
  <si>
    <t xml:space="preserve">6.5</t>
  </si>
  <si>
    <t xml:space="preserve">18</t>
  </si>
  <si>
    <t xml:space="preserve">15</t>
  </si>
  <si>
    <t xml:space="preserve">WORKERS COMP — CURRENT VS GUSTO PEO</t>
  </si>
  <si>
    <t xml:space="preserve">Comp premium (blended PEPM)</t>
  </si>
  <si>
    <t xml:space="preserve">58</t>
  </si>
  <si>
    <t xml:space="preserve">46</t>
  </si>
  <si>
    <t xml:space="preserve">ROI SUMMARY</t>
  </si>
  <si>
    <t xml:space="preserve">Category</t>
  </si>
  <si>
    <t xml:space="preserve">Current</t>
  </si>
  <si>
    <t xml:space="preserve">Gusto PEO</t>
  </si>
  <si>
    <t xml:space="preserve">Annual Savings</t>
  </si>
  <si>
    <t xml:space="preserve">Major Medical</t>
  </si>
  <si>
    <t xml:space="preserve">Dental</t>
  </si>
  <si>
    <t xml:space="preserve">Vision</t>
  </si>
  <si>
    <t xml:space="preserve">Workers' Comp</t>
  </si>
  <si>
    <t xml:space="preserve">PEO Admin Fee</t>
  </si>
  <si>
    <t xml:space="preserve">Year-1 savings %</t>
  </si>
  <si>
    <t xml:space="preserve">FOUR-YEAR PROJECTION</t>
  </si>
  <si>
    <t xml:space="preserve">Year</t>
  </si>
  <si>
    <t xml:space="preserve">Cumulative Savings</t>
  </si>
  <si>
    <t xml:space="preserve">Year 1</t>
  </si>
  <si>
    <t xml:space="preserve">Year 2</t>
  </si>
  <si>
    <t xml:space="preserve">Year 3</t>
  </si>
  <si>
    <t xml:space="preserve">Year 4</t>
  </si>
  <si>
    <t xml:space="preserve">WHAT THE GUSTO PEO INCLUDES</t>
  </si>
  <si>
    <t xml:space="preserve">Payroll processing &amp; tax filing</t>
  </si>
  <si>
    <t xml:space="preserve">Included</t>
  </si>
  <si>
    <t xml:space="preserve">Master medical / dental / vision plans</t>
  </si>
  <si>
    <t xml:space="preserve">Workers' comp (pay-as-you-go)</t>
  </si>
  <si>
    <t xml:space="preserve">HR platform &amp; self-serve</t>
  </si>
  <si>
    <t xml:space="preserve">Compliance &amp; ACA support</t>
  </si>
  <si>
    <t xml:space="preserve">401(k) administration</t>
  </si>
  <si>
    <t xml:space="preserve">Onboarding &amp; benefits enrollment</t>
  </si>
  <si>
    <t xml:space="preserve">Dedicated support</t>
  </si>
  <si>
    <t xml:space="preserve">Always extra (pass-through, billed at cost): wages, employer taxes, insurance premiums, 401(k) employer contributions.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</si>
</sst>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5A6472"/>
      <name val="Arial"/>
      <family val="0"/>
      <charset val="1"/>
    </font>
    <font>
      <b val="true"/>
      <sz val="8.5"/>
      <color rgb="FF5A6472"/>
      <name val="Arial"/>
      <family val="0"/>
      <charset val="1"/>
    </font>
    <font>
      <b val="true"/>
      <sz val="14"/>
      <color rgb="FFC7442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32A3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.5"/>
      <color rgb="FF5A6472"/>
      <name val="Arial"/>
      <family val="0"/>
      <charset val="1"/>
    </font>
    <font>
      <b val="true"/>
      <sz val="10"/>
      <color rgb="FF232A3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232A35"/>
      <name val="Arial"/>
      <family val="0"/>
      <charset val="1"/>
    </font>
    <font>
      <b val="true"/>
      <sz val="10"/>
      <color rgb="FFC7442F"/>
      <name val="Arial"/>
      <family val="0"/>
      <charset val="1"/>
    </font>
    <font>
      <b val="true"/>
      <sz val="10"/>
      <color rgb="FF0A875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5D48"/>
        <bgColor rgb="FFC7442F"/>
      </patternFill>
    </fill>
    <fill>
      <patternFill patternType="solid">
        <fgColor rgb="FFFDEAE6"/>
        <bgColor rgb="FFFFF9F3"/>
      </patternFill>
    </fill>
    <fill>
      <patternFill patternType="solid">
        <fgColor rgb="FF232A35"/>
        <bgColor rgb="FF333300"/>
      </patternFill>
    </fill>
    <fill>
      <patternFill patternType="solid">
        <fgColor rgb="FFFFF9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DDD3"/>
      </left>
      <right style="thin">
        <color rgb="FFE5DDD3"/>
      </right>
      <top style="thin">
        <color rgb="FFE5DDD3"/>
      </top>
      <bottom style="thin">
        <color rgb="FFE5D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8754"/>
      <rgbColor rgb="FFC0C0C0"/>
      <rgbColor rgb="FF808080"/>
      <rgbColor rgb="FF9999FF"/>
      <rgbColor rgb="FF993366"/>
      <rgbColor rgb="FFFFF9F3"/>
      <rgbColor rgb="FFCCFFFF"/>
      <rgbColor rgb="FF660066"/>
      <rgbColor rgb="FFFF8080"/>
      <rgbColor rgb="FF0066CC"/>
      <rgbColor rgb="FFE5DD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5D48"/>
      <rgbColor rgb="FF5A6472"/>
      <rgbColor rgb="FF969696"/>
      <rgbColor rgb="FF003366"/>
      <rgbColor rgb="FF339966"/>
      <rgbColor rgb="FF003300"/>
      <rgbColor rgb="FF333300"/>
      <rgbColor rgb="FFC7442F"/>
      <rgbColor rgb="FF993366"/>
      <rgbColor rgb="FF333399"/>
      <rgbColor rgb="FF23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6"/>
    <col collapsed="false" customWidth="true" hidden="false" outlineLevel="0" max="7" min="7" style="0" width="3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</row>
    <row r="6" customFormat="false" ht="25.5" hidden="false" customHeight="true" outlineLevel="0" collapsed="false">
      <c r="B6" s="4" t="n">
        <f aca="false">C24-C25</f>
        <v>75150</v>
      </c>
      <c r="C6" s="4" t="n">
        <f aca="false">C24</f>
        <v>1189200</v>
      </c>
      <c r="D6" s="4" t="n">
        <f aca="false">C25</f>
        <v>1114050</v>
      </c>
      <c r="E6" s="5" t="n">
        <f aca="false">IF(C24=0,0,(C24-C25)/C24)</f>
        <v>0.0631937436932392</v>
      </c>
    </row>
    <row r="9" customFormat="false" ht="15" hidden="false" customHeight="false" outlineLevel="0" collapsed="false">
      <c r="B9" s="6" t="s">
        <v>6</v>
      </c>
      <c r="C9" s="6"/>
    </row>
    <row r="10" customFormat="false" ht="15" hidden="false" customHeight="false" outlineLevel="0" collapsed="false">
      <c r="B10" s="7" t="s">
        <v>7</v>
      </c>
      <c r="C10" s="8" t="s">
        <v>8</v>
      </c>
    </row>
    <row r="11" customFormat="false" ht="15" hidden="false" customHeight="false" outlineLevel="0" collapsed="false">
      <c r="B11" s="7" t="s">
        <v>9</v>
      </c>
      <c r="C11" s="8" t="s">
        <v>10</v>
      </c>
    </row>
    <row r="12" customFormat="false" ht="15" hidden="false" customHeight="false" outlineLevel="0" collapsed="false">
      <c r="B12" s="7" t="s">
        <v>11</v>
      </c>
      <c r="C12" s="8" t="n">
        <v>25</v>
      </c>
    </row>
    <row r="13" customFormat="false" ht="15" hidden="false" customHeight="false" outlineLevel="0" collapsed="false">
      <c r="B13" s="7" t="s">
        <v>12</v>
      </c>
      <c r="C13" s="9" t="n">
        <v>0.07</v>
      </c>
    </row>
    <row r="14" customFormat="false" ht="15" hidden="false" customHeight="false" outlineLevel="0" collapsed="false">
      <c r="B14" s="7" t="s">
        <v>13</v>
      </c>
      <c r="C14" s="10" t="n">
        <v>95</v>
      </c>
    </row>
    <row r="16" customFormat="false" ht="15" hidden="false" customHeight="false" outlineLevel="0" collapsed="false">
      <c r="B16" s="11" t="s">
        <v>14</v>
      </c>
      <c r="C16" s="11"/>
      <c r="D16" s="11"/>
      <c r="E16" s="11"/>
      <c r="F16" s="11"/>
    </row>
    <row r="23" customFormat="false" ht="15" hidden="false" customHeight="false" outlineLevel="0" collapsed="false">
      <c r="B23" s="6" t="s">
        <v>15</v>
      </c>
      <c r="C23" s="6"/>
    </row>
    <row r="24" customFormat="false" ht="15" hidden="false" customHeight="false" outlineLevel="0" collapsed="false">
      <c r="B24" s="7" t="s">
        <v>16</v>
      </c>
      <c r="C24" s="12" t="n">
        <f aca="false">'Major Medical'!E20+Dental!E14+Vision!E14+'Workers Comp'!E14</f>
        <v>1189200</v>
      </c>
    </row>
    <row r="25" customFormat="false" ht="15" hidden="false" customHeight="false" outlineLevel="0" collapsed="false">
      <c r="B25" s="7" t="s">
        <v>17</v>
      </c>
      <c r="C25" s="12" t="n">
        <f aca="false">'Major Medical'!F20+Dental!F14+Vision!F14+'Workers Comp'!F14+(C12*C14*12)</f>
        <v>1114050</v>
      </c>
    </row>
  </sheetData>
  <mergeCells count="5">
    <mergeCell ref="B2:F2"/>
    <mergeCell ref="B3:F3"/>
    <mergeCell ref="B9:C9"/>
    <mergeCell ref="B16:F16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16"/>
  </cols>
  <sheetData>
    <row r="2" customFormat="false" ht="27.75" hidden="false" customHeight="true" outlineLevel="0" collapsed="false">
      <c r="B2" s="13" t="s">
        <v>18</v>
      </c>
      <c r="C2" s="13"/>
      <c r="D2" s="13"/>
      <c r="E2" s="13"/>
      <c r="F2" s="13"/>
    </row>
    <row r="4" customFormat="false" ht="15" hidden="false" customHeight="false" outlineLevel="0" collapsed="false">
      <c r="A4" s="14"/>
      <c r="B4" s="14" t="s">
        <v>19</v>
      </c>
      <c r="C4" s="15" t="s">
        <v>20</v>
      </c>
      <c r="D4" s="15" t="s">
        <v>21</v>
      </c>
      <c r="E4" s="15" t="s">
        <v>22</v>
      </c>
      <c r="F4" s="15" t="s">
        <v>23</v>
      </c>
    </row>
    <row r="5" customFormat="false" ht="15" hidden="false" customHeight="false" outlineLevel="0" collapsed="false">
      <c r="B5" s="7" t="s">
        <v>24</v>
      </c>
      <c r="C5" s="10" t="s">
        <v>25</v>
      </c>
      <c r="D5" s="10" t="s">
        <v>26</v>
      </c>
      <c r="E5" s="16" t="n">
        <f aca="false">C5*'Cover &amp; Assumptions'!$C$12*12</f>
        <v>135000</v>
      </c>
      <c r="F5" s="16" t="n">
        <f aca="false">D5*'Cover &amp; Assumptions'!$C$12*12</f>
        <v>123000</v>
      </c>
    </row>
    <row r="6" customFormat="false" ht="15" hidden="false" customHeight="false" outlineLevel="0" collapsed="false">
      <c r="B6" s="7" t="s">
        <v>27</v>
      </c>
      <c r="C6" s="10" t="s">
        <v>28</v>
      </c>
      <c r="D6" s="10" t="s">
        <v>29</v>
      </c>
      <c r="E6" s="16" t="n">
        <f aca="false">C6*'Cover &amp; Assumptions'!$C$12*12</f>
        <v>216000</v>
      </c>
      <c r="F6" s="16" t="n">
        <f aca="false">D6*'Cover &amp; Assumptions'!$C$12*12</f>
        <v>198000</v>
      </c>
    </row>
    <row r="7" customFormat="false" ht="15" hidden="false" customHeight="false" outlineLevel="0" collapsed="false">
      <c r="B7" s="7" t="s">
        <v>30</v>
      </c>
      <c r="C7" s="10" t="s">
        <v>31</v>
      </c>
      <c r="D7" s="10" t="s">
        <v>32</v>
      </c>
      <c r="E7" s="16" t="n">
        <f aca="false">C7*'Cover &amp; Assumptions'!$C$12*12</f>
        <v>204000</v>
      </c>
      <c r="F7" s="16" t="n">
        <f aca="false">D7*'Cover &amp; Assumptions'!$C$12*12</f>
        <v>186000</v>
      </c>
    </row>
    <row r="8" customFormat="false" ht="15" hidden="false" customHeight="false" outlineLevel="0" collapsed="false">
      <c r="B8" s="7" t="s">
        <v>33</v>
      </c>
      <c r="C8" s="10" t="s">
        <v>34</v>
      </c>
      <c r="D8" s="10" t="s">
        <v>35</v>
      </c>
      <c r="E8" s="16" t="n">
        <f aca="false">C8*'Cover &amp; Assumptions'!$C$12*12</f>
        <v>294000</v>
      </c>
      <c r="F8" s="16" t="n">
        <f aca="false">D8*'Cover &amp; Assumptions'!$C$12*12</f>
        <v>270000</v>
      </c>
    </row>
    <row r="9" customFormat="false" ht="15" hidden="false" customHeight="false" outlineLevel="0" collapsed="false">
      <c r="B9" s="7" t="s">
        <v>36</v>
      </c>
      <c r="C9" s="10" t="s">
        <v>37</v>
      </c>
      <c r="D9" s="10" t="s">
        <v>38</v>
      </c>
      <c r="E9" s="16" t="n">
        <f aca="false">C9*'Cover &amp; Assumptions'!$C$12*12</f>
        <v>168000</v>
      </c>
      <c r="F9" s="16" t="n">
        <f aca="false">D9*'Cover &amp; Assumptions'!$C$12*12</f>
        <v>154500</v>
      </c>
    </row>
    <row r="10" customFormat="false" ht="15" hidden="false" customHeight="false" outlineLevel="0" collapsed="false">
      <c r="B10" s="7" t="s">
        <v>39</v>
      </c>
      <c r="C10" s="10" t="n">
        <v>0</v>
      </c>
      <c r="D10" s="10" t="n">
        <v>0</v>
      </c>
      <c r="E10" s="16" t="n">
        <f aca="false">C10*'Cover &amp; Assumptions'!$C$12*12</f>
        <v>0</v>
      </c>
      <c r="F10" s="16" t="n">
        <f aca="false">D10*'Cover &amp; Assumptions'!$C$12*12</f>
        <v>0</v>
      </c>
    </row>
    <row r="19" customFormat="false" ht="15" hidden="false" customHeight="false" outlineLevel="0" collapsed="false">
      <c r="B19" s="0" t="s">
        <v>40</v>
      </c>
      <c r="C19" s="17" t="n">
        <v>380</v>
      </c>
      <c r="D19" s="17" t="n">
        <v>348</v>
      </c>
      <c r="E19" s="18" t="n">
        <f aca="false">C19*'Cover &amp; Assumptions'!$C$12*12</f>
        <v>114000</v>
      </c>
      <c r="F19" s="18" t="n">
        <f aca="false">D19*'Cover &amp; Assumptions'!$C$12*12</f>
        <v>104400</v>
      </c>
    </row>
    <row r="20" customFormat="false" ht="15" hidden="false" customHeight="false" outlineLevel="0" collapsed="false">
      <c r="B20" s="19" t="s">
        <v>41</v>
      </c>
      <c r="C20" s="20" t="n">
        <f aca="false">SUM(C5:C19)</f>
        <v>380</v>
      </c>
      <c r="D20" s="20" t="n">
        <f aca="false">SUM(D5:D19)</f>
        <v>348</v>
      </c>
      <c r="E20" s="20" t="n">
        <f aca="false">SUM(E5:E19)</f>
        <v>1131000</v>
      </c>
      <c r="F20" s="20" t="n">
        <f aca="false">SUM(F5:F19)</f>
        <v>1035900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16"/>
  </cols>
  <sheetData>
    <row r="2" customFormat="false" ht="27.75" hidden="false" customHeight="true" outlineLevel="0" collapsed="false">
      <c r="B2" s="13" t="s">
        <v>42</v>
      </c>
      <c r="C2" s="13"/>
      <c r="D2" s="13"/>
      <c r="E2" s="13"/>
      <c r="F2" s="13"/>
    </row>
    <row r="4" customFormat="false" ht="15" hidden="false" customHeight="false" outlineLevel="0" collapsed="false">
      <c r="A4" s="14"/>
      <c r="B4" s="14" t="s">
        <v>19</v>
      </c>
      <c r="C4" s="15" t="s">
        <v>20</v>
      </c>
      <c r="D4" s="15" t="s">
        <v>21</v>
      </c>
      <c r="E4" s="15" t="s">
        <v>22</v>
      </c>
      <c r="F4" s="15" t="s">
        <v>23</v>
      </c>
    </row>
    <row r="5" customFormat="false" ht="15" hidden="false" customHeight="false" outlineLevel="0" collapsed="false">
      <c r="B5" s="7" t="s">
        <v>24</v>
      </c>
      <c r="C5" s="10" t="s">
        <v>43</v>
      </c>
      <c r="D5" s="10" t="s">
        <v>44</v>
      </c>
      <c r="E5" s="16" t="n">
        <f aca="false">C5*'Cover &amp; Assumptions'!$C$12*12</f>
        <v>9600</v>
      </c>
      <c r="F5" s="16" t="n">
        <f aca="false">D5*'Cover &amp; Assumptions'!$C$12*12</f>
        <v>8400</v>
      </c>
    </row>
    <row r="6" customFormat="false" ht="15" hidden="false" customHeight="false" outlineLevel="0" collapsed="false">
      <c r="B6" s="7" t="s">
        <v>33</v>
      </c>
      <c r="C6" s="10" t="s">
        <v>45</v>
      </c>
      <c r="D6" s="10" t="s">
        <v>46</v>
      </c>
      <c r="E6" s="16" t="n">
        <f aca="false">C6*'Cover &amp; Assumptions'!$C$12*12</f>
        <v>23400</v>
      </c>
      <c r="F6" s="16" t="n">
        <f aca="false">D6*'Cover &amp; Assumptions'!$C$12*12</f>
        <v>21000</v>
      </c>
    </row>
    <row r="14" customFormat="false" ht="15" hidden="false" customHeight="false" outlineLevel="0" collapsed="false">
      <c r="B14" s="19" t="s">
        <v>41</v>
      </c>
      <c r="C14" s="20" t="n">
        <f aca="false">SUM(C5:C13)</f>
        <v>0</v>
      </c>
      <c r="D14" s="20" t="n">
        <f aca="false">SUM(D5:D13)</f>
        <v>0</v>
      </c>
      <c r="E14" s="20" t="n">
        <f aca="false">SUM(E5:E13)</f>
        <v>33000</v>
      </c>
      <c r="F14" s="20" t="n">
        <f aca="false">SUM(F5:F13)</f>
        <v>29400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16"/>
  </cols>
  <sheetData>
    <row r="2" customFormat="false" ht="27.75" hidden="false" customHeight="true" outlineLevel="0" collapsed="false">
      <c r="B2" s="13" t="s">
        <v>47</v>
      </c>
      <c r="C2" s="13"/>
      <c r="D2" s="13"/>
      <c r="E2" s="13"/>
      <c r="F2" s="13"/>
    </row>
    <row r="4" customFormat="false" ht="15" hidden="false" customHeight="false" outlineLevel="0" collapsed="false">
      <c r="A4" s="14"/>
      <c r="B4" s="14" t="s">
        <v>19</v>
      </c>
      <c r="C4" s="15" t="s">
        <v>20</v>
      </c>
      <c r="D4" s="15" t="s">
        <v>21</v>
      </c>
      <c r="E4" s="15" t="s">
        <v>22</v>
      </c>
      <c r="F4" s="15" t="s">
        <v>23</v>
      </c>
    </row>
    <row r="5" customFormat="false" ht="15" hidden="false" customHeight="false" outlineLevel="0" collapsed="false">
      <c r="B5" s="7" t="s">
        <v>24</v>
      </c>
      <c r="C5" s="10" t="s">
        <v>48</v>
      </c>
      <c r="D5" s="10" t="s">
        <v>49</v>
      </c>
      <c r="E5" s="16" t="n">
        <f aca="false">C5*'Cover &amp; Assumptions'!$C$12*12</f>
        <v>2400</v>
      </c>
      <c r="F5" s="16" t="n">
        <f aca="false">D5*'Cover &amp; Assumptions'!$C$12*12</f>
        <v>1950</v>
      </c>
    </row>
    <row r="6" customFormat="false" ht="15" hidden="false" customHeight="false" outlineLevel="0" collapsed="false">
      <c r="B6" s="7" t="s">
        <v>33</v>
      </c>
      <c r="C6" s="10" t="s">
        <v>50</v>
      </c>
      <c r="D6" s="10" t="s">
        <v>51</v>
      </c>
      <c r="E6" s="16" t="n">
        <f aca="false">C6*'Cover &amp; Assumptions'!$C$12*12</f>
        <v>5400</v>
      </c>
      <c r="F6" s="16" t="n">
        <f aca="false">D6*'Cover &amp; Assumptions'!$C$12*12</f>
        <v>4500</v>
      </c>
    </row>
    <row r="14" customFormat="false" ht="15" hidden="false" customHeight="false" outlineLevel="0" collapsed="false">
      <c r="B14" s="19" t="s">
        <v>41</v>
      </c>
      <c r="C14" s="20" t="n">
        <f aca="false">SUM(C5:C13)</f>
        <v>0</v>
      </c>
      <c r="D14" s="20" t="n">
        <f aca="false">SUM(D5:D13)</f>
        <v>0</v>
      </c>
      <c r="E14" s="20" t="n">
        <f aca="false">SUM(E5:E13)</f>
        <v>7800</v>
      </c>
      <c r="F14" s="20" t="n">
        <f aca="false">SUM(F5:F13)</f>
        <v>6450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16"/>
  </cols>
  <sheetData>
    <row r="2" customFormat="false" ht="27.75" hidden="false" customHeight="true" outlineLevel="0" collapsed="false">
      <c r="B2" s="13" t="s">
        <v>52</v>
      </c>
      <c r="C2" s="13"/>
      <c r="D2" s="13"/>
      <c r="E2" s="13"/>
      <c r="F2" s="13"/>
    </row>
    <row r="4" customFormat="false" ht="15" hidden="false" customHeight="false" outlineLevel="0" collapsed="false">
      <c r="A4" s="14"/>
      <c r="B4" s="14" t="s">
        <v>19</v>
      </c>
      <c r="C4" s="15" t="s">
        <v>20</v>
      </c>
      <c r="D4" s="15" t="s">
        <v>21</v>
      </c>
      <c r="E4" s="15" t="s">
        <v>22</v>
      </c>
      <c r="F4" s="15" t="s">
        <v>23</v>
      </c>
    </row>
    <row r="5" customFormat="false" ht="15" hidden="false" customHeight="false" outlineLevel="0" collapsed="false">
      <c r="B5" s="7" t="s">
        <v>53</v>
      </c>
      <c r="C5" s="10" t="s">
        <v>54</v>
      </c>
      <c r="D5" s="10" t="s">
        <v>55</v>
      </c>
      <c r="E5" s="16" t="n">
        <f aca="false">C5*'Cover &amp; Assumptions'!$C$12*12</f>
        <v>17400</v>
      </c>
      <c r="F5" s="16" t="n">
        <f aca="false">D5*'Cover &amp; Assumptions'!$C$12*12</f>
        <v>13800</v>
      </c>
    </row>
    <row r="14" customFormat="false" ht="15" hidden="false" customHeight="false" outlineLevel="0" collapsed="false">
      <c r="B14" s="19" t="s">
        <v>41</v>
      </c>
      <c r="C14" s="20" t="n">
        <f aca="false">SUM(C5:C13)</f>
        <v>0</v>
      </c>
      <c r="D14" s="20" t="n">
        <f aca="false">SUM(D5:D13)</f>
        <v>0</v>
      </c>
      <c r="E14" s="20" t="n">
        <f aca="false">SUM(E5:E13)</f>
        <v>17400</v>
      </c>
      <c r="F14" s="20" t="n">
        <f aca="false">SUM(F5:F13)</f>
        <v>13800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5" min="3" style="0" width="18"/>
  </cols>
  <sheetData>
    <row r="2" customFormat="false" ht="30" hidden="false" customHeight="true" outlineLevel="0" collapsed="false">
      <c r="B2" s="21" t="s">
        <v>56</v>
      </c>
      <c r="C2" s="21"/>
      <c r="D2" s="21"/>
      <c r="E2" s="21"/>
    </row>
    <row r="4" customFormat="false" ht="15" hidden="false" customHeight="false" outlineLevel="0" collapsed="false">
      <c r="A4" s="22"/>
      <c r="B4" s="22" t="s">
        <v>57</v>
      </c>
      <c r="C4" s="23" t="s">
        <v>58</v>
      </c>
      <c r="D4" s="23" t="s">
        <v>59</v>
      </c>
      <c r="E4" s="23" t="s">
        <v>60</v>
      </c>
    </row>
    <row r="5" customFormat="false" ht="15" hidden="false" customHeight="false" outlineLevel="0" collapsed="false">
      <c r="B5" s="7" t="s">
        <v>61</v>
      </c>
      <c r="C5" s="16" t="n">
        <f aca="false">'Major Medical'!E20</f>
        <v>1131000</v>
      </c>
      <c r="D5" s="16" t="n">
        <f aca="false">'Major Medical'!F20</f>
        <v>1035900</v>
      </c>
      <c r="E5" s="16" t="n">
        <f aca="false">C5-D5</f>
        <v>95100</v>
      </c>
    </row>
    <row r="6" customFormat="false" ht="15" hidden="false" customHeight="false" outlineLevel="0" collapsed="false">
      <c r="B6" s="7" t="s">
        <v>62</v>
      </c>
      <c r="C6" s="16" t="n">
        <f aca="false">Dental!E14</f>
        <v>33000</v>
      </c>
      <c r="D6" s="16" t="n">
        <f aca="false">Dental!F14</f>
        <v>29400</v>
      </c>
      <c r="E6" s="16" t="n">
        <f aca="false">C6-D6</f>
        <v>3600</v>
      </c>
    </row>
    <row r="7" customFormat="false" ht="15" hidden="false" customHeight="false" outlineLevel="0" collapsed="false">
      <c r="B7" s="7" t="s">
        <v>63</v>
      </c>
      <c r="C7" s="16" t="n">
        <f aca="false">Vision!E14</f>
        <v>7800</v>
      </c>
      <c r="D7" s="16" t="n">
        <f aca="false">Vision!F14</f>
        <v>6450</v>
      </c>
      <c r="E7" s="16" t="n">
        <f aca="false">C7-D7</f>
        <v>1350</v>
      </c>
    </row>
    <row r="8" customFormat="false" ht="15" hidden="false" customHeight="false" outlineLevel="0" collapsed="false">
      <c r="B8" s="7" t="s">
        <v>64</v>
      </c>
      <c r="C8" s="16" t="n">
        <f aca="false">'Workers Comp'!E14</f>
        <v>17400</v>
      </c>
      <c r="D8" s="16" t="n">
        <f aca="false">'Workers Comp'!F14</f>
        <v>13800</v>
      </c>
      <c r="E8" s="16" t="n">
        <f aca="false">C8-D8</f>
        <v>3600</v>
      </c>
    </row>
    <row r="9" customFormat="false" ht="15" hidden="false" customHeight="false" outlineLevel="0" collapsed="false">
      <c r="B9" s="7" t="s">
        <v>65</v>
      </c>
      <c r="C9" s="16" t="n">
        <f aca="false">0</f>
        <v>0</v>
      </c>
      <c r="D9" s="16" t="n">
        <f aca="false">'Cover &amp; Assumptions'!$C$12*'Cover &amp; Assumptions'!$C$14*12</f>
        <v>28500</v>
      </c>
      <c r="E9" s="16" t="n">
        <f aca="false">C9-D9</f>
        <v>-28500</v>
      </c>
    </row>
    <row r="10" customFormat="false" ht="15" hidden="false" customHeight="false" outlineLevel="0" collapsed="false">
      <c r="B10" s="24" t="s">
        <v>41</v>
      </c>
      <c r="C10" s="25" t="n">
        <f aca="false">SUM(C5:C9)</f>
        <v>1189200</v>
      </c>
      <c r="D10" s="25" t="n">
        <f aca="false">SUM(D5:D9)</f>
        <v>1114050</v>
      </c>
      <c r="E10" s="25" t="n">
        <f aca="false">SUM(E5:E9)</f>
        <v>75150</v>
      </c>
    </row>
    <row r="12" customFormat="false" ht="15" hidden="false" customHeight="false" outlineLevel="0" collapsed="false">
      <c r="B12" s="19" t="s">
        <v>66</v>
      </c>
      <c r="C12" s="26" t="n">
        <f aca="false">IF(C10=0,0,E10/C10)</f>
        <v>0.0631937436932392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18"/>
  </cols>
  <sheetData>
    <row r="2" customFormat="false" ht="30" hidden="false" customHeight="true" outlineLevel="0" collapsed="false">
      <c r="B2" s="21" t="s">
        <v>67</v>
      </c>
      <c r="C2" s="21"/>
      <c r="D2" s="21"/>
      <c r="E2" s="21"/>
      <c r="F2" s="21"/>
    </row>
    <row r="4" customFormat="false" ht="15" hidden="false" customHeight="false" outlineLevel="0" collapsed="false">
      <c r="A4" s="22"/>
      <c r="B4" s="22" t="s">
        <v>68</v>
      </c>
      <c r="C4" s="23" t="s">
        <v>58</v>
      </c>
      <c r="D4" s="23" t="s">
        <v>59</v>
      </c>
      <c r="E4" s="23" t="s">
        <v>60</v>
      </c>
      <c r="F4" s="23" t="s">
        <v>69</v>
      </c>
    </row>
    <row r="5" customFormat="false" ht="15" hidden="false" customHeight="false" outlineLevel="0" collapsed="false">
      <c r="B5" s="7" t="s">
        <v>70</v>
      </c>
      <c r="C5" s="16" t="n">
        <f aca="false">'ROI Summary'!C10*(1+'Cover &amp; Assumptions'!$C$13)^0</f>
        <v>1189200</v>
      </c>
      <c r="D5" s="16" t="n">
        <f aca="false">'ROI Summary'!D10*(1+'Cover &amp; Assumptions'!$C$13)^0</f>
        <v>1114050</v>
      </c>
      <c r="E5" s="16" t="n">
        <f aca="false">C5-D5</f>
        <v>75150</v>
      </c>
      <c r="F5" s="27" t="n">
        <f aca="false">E5</f>
        <v>75150</v>
      </c>
    </row>
    <row r="6" customFormat="false" ht="15" hidden="false" customHeight="false" outlineLevel="0" collapsed="false">
      <c r="B6" s="7" t="s">
        <v>71</v>
      </c>
      <c r="C6" s="16" t="n">
        <f aca="false">'ROI Summary'!C10*(1+'Cover &amp; Assumptions'!$C$13)^1</f>
        <v>1272444</v>
      </c>
      <c r="D6" s="16" t="n">
        <f aca="false">'ROI Summary'!D10*(1+'Cover &amp; Assumptions'!$C$13)^1</f>
        <v>1192033.5</v>
      </c>
      <c r="E6" s="16" t="n">
        <f aca="false">C6-D6</f>
        <v>80410.5</v>
      </c>
      <c r="F6" s="27" t="n">
        <f aca="false">F5+E6</f>
        <v>155560.5</v>
      </c>
    </row>
    <row r="7" customFormat="false" ht="15" hidden="false" customHeight="false" outlineLevel="0" collapsed="false">
      <c r="B7" s="7" t="s">
        <v>72</v>
      </c>
      <c r="C7" s="16" t="n">
        <f aca="false">'ROI Summary'!C10*(1+'Cover &amp; Assumptions'!$C$13)^2</f>
        <v>1361515.08</v>
      </c>
      <c r="D7" s="16" t="n">
        <f aca="false">'ROI Summary'!D10*(1+'Cover &amp; Assumptions'!$C$13)^2</f>
        <v>1275475.845</v>
      </c>
      <c r="E7" s="16" t="n">
        <f aca="false">C7-D7</f>
        <v>86039.2350000001</v>
      </c>
      <c r="F7" s="27" t="n">
        <f aca="false">F6+E7</f>
        <v>241599.735</v>
      </c>
    </row>
    <row r="8" customFormat="false" ht="15" hidden="false" customHeight="false" outlineLevel="0" collapsed="false">
      <c r="B8" s="7" t="s">
        <v>73</v>
      </c>
      <c r="C8" s="16" t="n">
        <f aca="false">'ROI Summary'!C10*(1+'Cover &amp; Assumptions'!$C$13)^3</f>
        <v>1456821.1356</v>
      </c>
      <c r="D8" s="16" t="n">
        <f aca="false">'ROI Summary'!D10*(1+'Cover &amp; Assumptions'!$C$13)^3</f>
        <v>1364759.15415</v>
      </c>
      <c r="E8" s="16" t="n">
        <f aca="false">C8-D8</f>
        <v>92061.9814500001</v>
      </c>
      <c r="F8" s="27" t="n">
        <f aca="false">F7+E8</f>
        <v>333661.71645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3" t="s">
        <v>74</v>
      </c>
      <c r="C2" s="13"/>
    </row>
    <row r="4" customFormat="false" ht="15" hidden="false" customHeight="false" outlineLevel="0" collapsed="false">
      <c r="B4" s="7" t="s">
        <v>75</v>
      </c>
      <c r="C4" s="28" t="s">
        <v>76</v>
      </c>
    </row>
    <row r="5" customFormat="false" ht="15" hidden="false" customHeight="false" outlineLevel="0" collapsed="false">
      <c r="B5" s="7" t="s">
        <v>77</v>
      </c>
      <c r="C5" s="28" t="s">
        <v>76</v>
      </c>
    </row>
    <row r="6" customFormat="false" ht="15" hidden="false" customHeight="false" outlineLevel="0" collapsed="false">
      <c r="B6" s="7" t="s">
        <v>78</v>
      </c>
      <c r="C6" s="28" t="s">
        <v>76</v>
      </c>
    </row>
    <row r="7" customFormat="false" ht="15" hidden="false" customHeight="false" outlineLevel="0" collapsed="false">
      <c r="B7" s="7" t="s">
        <v>79</v>
      </c>
      <c r="C7" s="28" t="s">
        <v>76</v>
      </c>
    </row>
    <row r="8" customFormat="false" ht="15" hidden="false" customHeight="false" outlineLevel="0" collapsed="false">
      <c r="B8" s="7" t="s">
        <v>80</v>
      </c>
      <c r="C8" s="28" t="s">
        <v>76</v>
      </c>
    </row>
    <row r="9" customFormat="false" ht="15" hidden="false" customHeight="false" outlineLevel="0" collapsed="false">
      <c r="B9" s="7" t="s">
        <v>81</v>
      </c>
      <c r="C9" s="28" t="s">
        <v>76</v>
      </c>
    </row>
    <row r="10" customFormat="false" ht="15" hidden="false" customHeight="false" outlineLevel="0" collapsed="false">
      <c r="B10" s="7" t="s">
        <v>82</v>
      </c>
      <c r="C10" s="28" t="s">
        <v>76</v>
      </c>
    </row>
    <row r="11" customFormat="false" ht="15" hidden="false" customHeight="false" outlineLevel="0" collapsed="false">
      <c r="B11" s="7" t="s">
        <v>83</v>
      </c>
      <c r="C11" s="28" t="s">
        <v>76</v>
      </c>
    </row>
    <row r="13" customFormat="false" ht="15" hidden="false" customHeight="false" outlineLevel="0" collapsed="false">
      <c r="B13" s="11" t="s">
        <v>84</v>
      </c>
      <c r="C13" s="11"/>
    </row>
  </sheetData>
  <mergeCells count="2">
    <mergeCell ref="B2:C2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2026-06-15T00:16:39Z</dcterms:created>
  <dc:creator>openpyxl</dc:creator>
  <dc:description/>
  <dc:language>en-US</dc:language>
  <cp:lastModifiedBy/>
  <dcterms:modified xsi:type="dcterms:W3CDTF">2026-06-15T00:16:39Z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